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scenarios\"/>
    </mc:Choice>
  </mc:AlternateContent>
  <xr:revisionPtr revIDLastSave="0" documentId="13_ncr:1_{A8F810D4-4CD2-47C1-8B8E-6F047DB9180E}" xr6:coauthVersionLast="47" xr6:coauthVersionMax="47" xr10:uidLastSave="{00000000-0000-0000-0000-000000000000}"/>
  <bookViews>
    <workbookView xWindow="-23148" yWindow="1632" windowWidth="23256" windowHeight="13896" activeTab="2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0" l="1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2" i="4" a="1"/>
  <c r="A2" i="4" s="1"/>
  <c r="A2" i="5" a="1"/>
  <c r="A2" i="5" s="1"/>
  <c r="B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<sst xmlns="http://schemas.openxmlformats.org/spreadsheetml/2006/main" count="109" uniqueCount="78">
  <si>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</si>
  <si>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</si>
  <si>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</si>
  <si>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</si>
  <si>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</si>
  <si>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</si>
  <si>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</si>
  <si>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</si>
  <si>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Airbus EC135</t>
  </si>
  <si>
    <t>cc70</t>
  </si>
  <si>
    <t>cc71</t>
  </si>
  <si>
    <t>cc72</t>
  </si>
  <si>
    <t>CC70</t>
  </si>
  <si>
    <t>CC71</t>
  </si>
  <si>
    <t>CC72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</si>
  <si>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</si>
  <si>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</si>
  <si>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</si>
  <si>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</si>
  <si>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</si>
  <si>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</si>
  <si>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</si>
  <si>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</si>
  <si>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</si>
  <si>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</si>
  <si>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</si>
  <si>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</si>
  <si>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</si>
  <si>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</si>
  <si>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</si>
  <si>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</si>
  <si>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</si>
  <si>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</si>
  <si>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</si>
  <si>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</si>
  <si>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</si>
  <si>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</si>
  <si>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</si>
  <si>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</si>
  <si>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</si>
  <si>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</si>
  <si>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</si>
  <si>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</si>
  <si>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</si>
  <si>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</si>
  <si>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</si>
  <si>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</si>
  <si>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</si>
  <si>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</si>
  <si>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</si>
  <si>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</si>
  <si>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</si>
  <si>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</si>
  <si>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</si>
  <si>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</si>
  <si>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</si>
  <si>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</si>
  <si>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</si>
  <si>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</si>
  <si>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</si>
  <si>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</si>
  <si>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</si>
  <si>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</si>
  <si>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</si>
  <si>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</si>
  <si>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</si>
  <si>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</si>
  <si>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</si>
  <si>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</si>
  <si>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</si>
  <si>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</si>
  <si>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</si>
  <si>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</si>
  <si>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</si>
  <si>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</si>
  <si>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 xml:space="preserve">There are no additional notes on this file. </t>
  </si>
  <si>
    <t>24/7 helicopter coverage - existing critical care times</t>
  </si>
  <si>
    <t xml:space="preserve">This scenario sets one helicopter (H70) and its backup car (CC70) to be available 24/7/365. H70/CC70 are set to continue with their existing timings for critical care and enhanced care (i.e. critical care only available until 7pm).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</si>
</sst>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14" fontId="0" fillId="5" borderId="0" xfId="0" applyNumberFormat="1" applyFill="1"/>
    <xf numFmtId="0" fontId="0" fillId="5" borderId="3" xfId="0" applyFill="1" applyBorder="1" applyProtection="1">
      <protection locked="0"/>
    </xf>
    <xf numFmtId="0" fontId="0" fillId="4" borderId="2" xfId="0" applyFill="1" applyBorder="1"/>
  </cellXfs>
  <cellStyles count="1">
    <cellStyle name="Normal" xfId="0" builtinId="0"/>
  </cellStyles>
  <dxfs count="31"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</dxfs>
  <tableStyles count="0" defaultTableStyle="TableStyleMedium2" defaultPivotStyle="PivotStyleLight16"/>
  <colors>
    <mruColors>
      <color rgb="FFFF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50AC5-74CE-48A9-BFCB-F4F61346B053}" name="Table9" displayName="Table9" ref="A1:B4" totalsRowShown="0" tableBorderDxfId="30">
  <autoFilter ref="A1:B4" xr:uid="{A2150AC5-74CE-48A9-BFCB-F4F61346B053}"/>
  <tableColumns count="2">
    <tableColumn id="1" xr3:uid="{F0856424-C6DC-412D-B25C-8F026F7CD6E9}" name="what" dataDxfId="29"/>
    <tableColumn id="2" xr3:uid="{19C3F318-470B-475E-BB81-6C6E44750B93}" name="value" dataDxfId="2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27">
  <autoFilter ref="A1:E21" xr:uid="{6BA1A063-41E7-4CB5-905A-26CF430593FD}"/>
  <tableColumns count="5">
    <tableColumn id="1" xr3:uid="{7D94D35B-078E-4674-B1CE-5BDADB0E40F1}" name="registration" dataDxfId="26"/>
    <tableColumn id="2" xr3:uid="{87F85CD4-4878-4408-8F8D-C0C8BFCBB598}" name="callsign" dataDxfId="25"/>
    <tableColumn id="3" xr3:uid="{BC63D893-06A9-4498-9E58-C77171B5E712}" name="model" dataDxfId="24"/>
    <tableColumn id="4" xr3:uid="{8B732E60-F9A5-4A58-B09A-8856C6DCB309}" name="vehicle_type" dataDxfId="23"/>
    <tableColumn id="5" xr3:uid="{66CD1ACD-7F6F-4500-B475-D2D6F6ED2307}" name="callsign_group" dataDxfId="2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21">
  <autoFilter ref="A1:H21" xr:uid="{2FF0AB03-56FE-475B-B1B1-910C83EEE421}"/>
  <tableColumns count="8">
    <tableColumn id="1" xr3:uid="{C8DBEC8B-3046-4DBD-B016-A8E422ADAEE6}" name="callsign" dataDxfId="20"/>
    <tableColumn id="2" xr3:uid="{D5A51554-25D9-42A4-82A7-1DC20B1D5C7F}" name="category" dataDxfId="19"/>
    <tableColumn id="3" xr3:uid="{083D7748-F407-4874-AEE3-F57C80BB60CB}" name="vehicle_type" dataDxfId="18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17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16"/>
    <tableColumn id="6" xr3:uid="{57A2D311-6390-401A-9AC0-6CD26AC91087}" name="winter_start" dataDxfId="15"/>
    <tableColumn id="7" xr3:uid="{0C1D6883-A527-469B-906E-ACE4ADBD99BC}" name="summer_end" dataDxfId="14"/>
    <tableColumn id="8" xr3:uid="{CB8009A1-EE5E-4E82-AE4B-A7BB0D34F6B0}" name="winter_end" dataDxfId="1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2">
      <calculatedColumnFormula>IF(ISBLANK(A2),"", VLOOKUP(A2,callsign_registration_lookup!C1:E6,2,FALSE))</calculatedColumnFormula>
    </tableColumn>
    <tableColumn id="2" xr3:uid="{D8B7BF02-3B19-4DC4-B9A4-EDEC06128AD9}" name="service_schedule_months" dataDxfId="11"/>
    <tableColumn id="3" xr3:uid="{52C2F997-5183-4694-B686-C7FFF875B647}" name="service_duration_weeks" dataDxfId="1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9"/>
    <tableColumn id="2" xr3:uid="{EB9F8E5F-5B1B-4C3B-B477-7D6B1C11C11F}" name="min_value_mins" dataDxfId="8"/>
    <tableColumn id="3" xr3:uid="{AA844072-6D2B-4C5F-AAB4-2FA58A23BD97}" name="max_value_mins" dataDxfId="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6">
  <autoFilter ref="B1:B20" xr:uid="{447F2987-19D0-4529-9F11-F3A4C3B081CC}"/>
  <tableColumns count="1">
    <tableColumn id="1" xr3:uid="{3F69728E-661E-4266-B4A5-B5ECD8439827}" name="last_service" dataDxfId="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97D3F-3BEA-464C-9C83-98399518AAC6}" name="Table5" displayName="Table5" ref="A1:C71" totalsRowShown="0">
  <autoFilter ref="A1:C71" xr:uid="{42097D3F-3BEA-464C-9C83-98399518AAC6}"/>
  <tableColumns count="3">
    <tableColumn id="1" xr3:uid="{B8A9B6B6-A29A-43D5-8097-C40C62115672}" name="year" dataDxfId="4">
      <calculatedColumnFormula>IF(ISBLANK(B2), "", YEAR(B2))</calculatedColumnFormula>
    </tableColumn>
    <tableColumn id="2" xr3:uid="{5CC3236A-0549-4C18-B5F2-35A3935BCD55}" name="start_date" dataDxfId="3"/>
    <tableColumn id="3" xr3:uid="{20E5EE56-B6F2-4D76-82F2-881E011DF77B}" name="end_date" dataDxfId="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1"/>
    <tableColumn id="2" xr3:uid="{BC693C23-ACAE-4C24-89FD-3BA288AA600E}" name="value" dataDxfId="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A6F1-AEF6-457F-88F4-18CC0389619D}">
  <dimension ref="A1:B4"/>
  <sheetViews>
    <sheetView workbookViewId="0">
      <selection activeCell="B4" sqref="B4"/>
    </sheetView>
  </sheetViews>
  <sheetFormatPr defaultRowHeight="15" x14ac:dyDescent="0.25"/>
  <cols>
    <col min="1" max="1" width="18" bestFit="1" customWidth="1"/>
    <col min="2" max="2" width="88.140625" customWidth="1"/>
  </cols>
  <sheetData>
    <row r="1" spans="1:2" x14ac:dyDescent="0.25">
      <c r="A1" t="s">
        <v>27</v>
      </c>
      <c r="B1" t="s">
        <v>62</v>
      </c>
    </row>
    <row r="2" spans="1:2" x14ac:dyDescent="0.25">
      <c r="A2" s="13" t="s">
        <v>72</v>
      </c>
      <c r="B2" s="12" t="s">
        <v>76</v>
      </c>
    </row>
    <row r="3" spans="1:2" ht="214.9" customHeight="1" x14ac:dyDescent="0.25">
      <c r="A3" s="13" t="s">
        <v>73</v>
      </c>
      <c r="B3" s="12" t="s">
        <v>77</v>
      </c>
    </row>
    <row r="4" spans="1:2" ht="118.9" customHeight="1" x14ac:dyDescent="0.25">
      <c r="A4" s="13" t="s">
        <v>74</v>
      </c>
      <c r="B4" s="12" t="s">
        <v>75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workbookViewId="0">
      <selection activeCell="C18" sqref="C18"/>
    </sheetView>
  </sheetViews>
  <sheetFormatPr defaultRowHeight="15" x14ac:dyDescent="0.25"/>
  <cols>
    <col min="1" max="1" width="23" customWidth="1"/>
    <col min="2" max="2" width="20.85546875" customWidth="1"/>
    <col min="3" max="3" width="30.28515625" customWidth="1"/>
    <col min="4" max="4" width="15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25">
      <c r="A2" s="7" t="s">
        <v>3</v>
      </c>
      <c r="B2" s="7" t="s">
        <v>4</v>
      </c>
      <c r="C2" s="7" t="s">
        <v>5</v>
      </c>
      <c r="D2" s="7" t="s">
        <v>24</v>
      </c>
      <c r="E2" s="7">
        <v>70</v>
      </c>
    </row>
    <row r="3" spans="1:5" x14ac:dyDescent="0.25">
      <c r="A3" s="7" t="s">
        <v>6</v>
      </c>
      <c r="B3" s="7" t="s">
        <v>7</v>
      </c>
      <c r="C3" s="7" t="s">
        <v>8</v>
      </c>
      <c r="D3" s="7" t="s">
        <v>24</v>
      </c>
      <c r="E3" s="7">
        <v>71</v>
      </c>
    </row>
    <row r="4" spans="1:5" x14ac:dyDescent="0.25">
      <c r="A4" s="7" t="s">
        <v>9</v>
      </c>
      <c r="B4" s="7" t="s">
        <v>12</v>
      </c>
      <c r="C4" s="7" t="s">
        <v>15</v>
      </c>
      <c r="D4" s="7" t="s">
        <v>26</v>
      </c>
      <c r="E4" s="7">
        <v>70</v>
      </c>
    </row>
    <row r="5" spans="1:5" x14ac:dyDescent="0.25">
      <c r="A5" s="7" t="s">
        <v>10</v>
      </c>
      <c r="B5" s="7" t="s">
        <v>13</v>
      </c>
      <c r="C5" s="7" t="s">
        <v>15</v>
      </c>
      <c r="D5" s="7" t="s">
        <v>26</v>
      </c>
      <c r="E5" s="7">
        <v>71</v>
      </c>
    </row>
    <row r="6" spans="1:5" x14ac:dyDescent="0.25">
      <c r="A6" s="7" t="s">
        <v>11</v>
      </c>
      <c r="B6" s="7" t="s">
        <v>14</v>
      </c>
      <c r="C6" s="7" t="s">
        <v>15</v>
      </c>
      <c r="D6" s="7" t="s">
        <v>26</v>
      </c>
      <c r="E6" s="7">
        <v>72</v>
      </c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</sheetData>
  <sheetProtection algorithmName="SHA-512" hashValue="Y8ALxQOF+WEmoU23xpiNVOiNXO38hRNoNK8AN7oLHa1Kzk4YYjWmKqiHyP+xZ40kNaLMG1/VBgtb7sdUEiFhaw==" saltValue="D3+GnqiFnfRMCYrNJxduO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tabSelected="1" workbookViewId="0">
      <selection activeCell="I5" sqref="I5"/>
    </sheetView>
  </sheetViews>
  <sheetFormatPr defaultRowHeight="15" x14ac:dyDescent="0.25"/>
  <cols>
    <col min="1" max="1" width="17.140625" customWidth="1"/>
    <col min="2" max="2" width="15.5703125" customWidth="1"/>
    <col min="3" max="3" width="18" customWidth="1"/>
    <col min="4" max="4" width="19.140625" customWidth="1"/>
    <col min="5" max="5" width="18.7109375" customWidth="1"/>
    <col min="6" max="6" width="17.7109375" customWidth="1"/>
    <col min="7" max="7" width="18.140625" customWidth="1"/>
    <col min="8" max="8" width="16" customWidth="1"/>
  </cols>
  <sheetData>
    <row r="1" spans="1:8" x14ac:dyDescent="0.25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7" t="s">
        <v>4</v>
      </c>
      <c r="B2" s="7" t="s">
        <v>23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7">
        <v>7</v>
      </c>
      <c r="F2" s="7">
        <v>7</v>
      </c>
      <c r="G2" s="7">
        <v>19</v>
      </c>
      <c r="H2" s="7">
        <v>19</v>
      </c>
    </row>
    <row r="3" spans="1:8" x14ac:dyDescent="0.25">
      <c r="A3" s="7" t="s">
        <v>4</v>
      </c>
      <c r="B3" s="7" t="s">
        <v>25</v>
      </c>
      <c r="C3" s="1" t="str">
        <f>IF(ISBLANK(Table3[[#This Row],[callsign]]), "", VLOOKUP(Table3[[#This Row],[callsign]],Table2[[#All],[callsign]:[vehicle_type]],3,FALSE))</f>
        <v>helicopter</v>
      </c>
      <c r="D3" s="1">
        <f>IF(ISBLANK(Table3[[#This Row],[callsign]]),"",VLOOKUP(Table3[[#This Row],[callsign]],Table2[[callsign]:[callsign_group]],4,FALSE))</f>
        <v>70</v>
      </c>
      <c r="E3" s="7">
        <v>19</v>
      </c>
      <c r="F3" s="7">
        <v>19</v>
      </c>
      <c r="G3" s="7">
        <v>7</v>
      </c>
      <c r="H3" s="7">
        <v>7</v>
      </c>
    </row>
    <row r="4" spans="1:8" x14ac:dyDescent="0.25">
      <c r="A4" s="7" t="s">
        <v>12</v>
      </c>
      <c r="B4" s="7" t="s">
        <v>23</v>
      </c>
      <c r="C4" s="1" t="str">
        <f>IF(ISBLANK(Table3[[#This Row],[callsign]]), "", VLOOKUP(Table3[[#This Row],[callsign]],Table2[[#All],[callsign]:[vehicle_type]],3,FALSE))</f>
        <v>car</v>
      </c>
      <c r="D4" s="1">
        <f>IF(ISBLANK(Table3[[#This Row],[callsign]]),"",VLOOKUP(Table3[[#This Row],[callsign]],Table2[[callsign]:[callsign_group]],4,FALSE))</f>
        <v>70</v>
      </c>
      <c r="E4" s="7">
        <v>7</v>
      </c>
      <c r="F4" s="7">
        <v>7</v>
      </c>
      <c r="G4" s="7">
        <v>19</v>
      </c>
      <c r="H4" s="7">
        <v>19</v>
      </c>
    </row>
    <row r="5" spans="1:8" x14ac:dyDescent="0.25">
      <c r="A5" s="7" t="s">
        <v>12</v>
      </c>
      <c r="B5" s="7" t="s">
        <v>25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70</v>
      </c>
      <c r="E5" s="7">
        <v>19</v>
      </c>
      <c r="F5" s="7">
        <v>19</v>
      </c>
      <c r="G5" s="7">
        <v>7</v>
      </c>
      <c r="H5" s="7">
        <v>7</v>
      </c>
    </row>
    <row r="6" spans="1:8" x14ac:dyDescent="0.25">
      <c r="A6" s="7" t="s">
        <v>7</v>
      </c>
      <c r="B6" s="7" t="s">
        <v>25</v>
      </c>
      <c r="C6" s="1" t="str">
        <f>IF(ISBLANK(Table3[[#This Row],[callsign]]), "", VLOOKUP(Table3[[#This Row],[callsign]],Table2[[#All],[callsign]:[vehicle_type]],3,FALSE))</f>
        <v>helicopter</v>
      </c>
      <c r="D6" s="1">
        <f>IF(ISBLANK(Table3[[#This Row],[callsign]]),"",VLOOKUP(Table3[[#This Row],[callsign]],Table2[[callsign]:[callsign_group]],4,FALSE))</f>
        <v>71</v>
      </c>
      <c r="E6" s="7">
        <v>7</v>
      </c>
      <c r="F6" s="7">
        <v>7</v>
      </c>
      <c r="G6" s="7">
        <v>19</v>
      </c>
      <c r="H6" s="7">
        <v>17</v>
      </c>
    </row>
    <row r="7" spans="1:8" x14ac:dyDescent="0.25">
      <c r="A7" s="7" t="s">
        <v>13</v>
      </c>
      <c r="B7" s="7" t="s">
        <v>25</v>
      </c>
      <c r="C7" s="1" t="str">
        <f>IF(ISBLANK(Table3[[#This Row],[callsign]]), "", VLOOKUP(Table3[[#This Row],[callsign]],Table2[[#All],[callsign]:[vehicle_type]],3,FALSE))</f>
        <v>car</v>
      </c>
      <c r="D7" s="1">
        <f>IF(ISBLANK(Table3[[#This Row],[callsign]]),"",VLOOKUP(Table3[[#This Row],[callsign]],Table2[[callsign]:[callsign_group]],4,FALSE))</f>
        <v>71</v>
      </c>
      <c r="E7" s="7">
        <v>7</v>
      </c>
      <c r="F7" s="7">
        <v>7</v>
      </c>
      <c r="G7" s="7">
        <v>19</v>
      </c>
      <c r="H7" s="7">
        <v>17</v>
      </c>
    </row>
    <row r="8" spans="1:8" x14ac:dyDescent="0.25">
      <c r="A8" s="7" t="s">
        <v>14</v>
      </c>
      <c r="B8" s="7" t="s">
        <v>25</v>
      </c>
      <c r="C8" s="1" t="str">
        <f>IF(ISBLANK(Table3[[#This Row],[callsign]]), "", VLOOKUP(Table3[[#This Row],[callsign]],Table2[[#All],[callsign]:[vehicle_type]],3,FALSE))</f>
        <v>car</v>
      </c>
      <c r="D8" s="1">
        <f>IF(ISBLANK(Table3[[#This Row],[callsign]]),"",VLOOKUP(Table3[[#This Row],[callsign]],Table2[[callsign]:[callsign_group]],4,FALSE))</f>
        <v>72</v>
      </c>
      <c r="E8" s="7">
        <v>8</v>
      </c>
      <c r="F8" s="7">
        <v>8</v>
      </c>
      <c r="G8" s="7">
        <v>18</v>
      </c>
      <c r="H8" s="7">
        <v>18</v>
      </c>
    </row>
    <row r="9" spans="1:8" x14ac:dyDescent="0.25">
      <c r="A9" s="7"/>
      <c r="B9" s="7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7"/>
      <c r="F9" s="7"/>
      <c r="G9" s="7"/>
      <c r="H9" s="7"/>
    </row>
    <row r="10" spans="1:8" x14ac:dyDescent="0.25">
      <c r="A10" s="7"/>
      <c r="B10" s="7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7"/>
      <c r="F10" s="7"/>
      <c r="G10" s="7"/>
      <c r="H10" s="7"/>
    </row>
    <row r="11" spans="1:8" x14ac:dyDescent="0.25">
      <c r="A11" s="7"/>
      <c r="B11" s="7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7"/>
      <c r="F11" s="7"/>
      <c r="G11" s="7"/>
      <c r="H11" s="7"/>
    </row>
    <row r="12" spans="1:8" x14ac:dyDescent="0.25">
      <c r="A12" s="7"/>
      <c r="B12" s="7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7"/>
      <c r="F12" s="7"/>
      <c r="G12" s="7"/>
      <c r="H12" s="7"/>
    </row>
    <row r="13" spans="1:8" x14ac:dyDescent="0.25">
      <c r="A13" s="7"/>
      <c r="B13" s="7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7"/>
      <c r="F13" s="7"/>
      <c r="G13" s="7"/>
      <c r="H13" s="7"/>
    </row>
    <row r="14" spans="1:8" x14ac:dyDescent="0.25">
      <c r="A14" s="7"/>
      <c r="B14" s="7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7"/>
      <c r="F14" s="7"/>
      <c r="G14" s="7"/>
      <c r="H14" s="7"/>
    </row>
    <row r="15" spans="1:8" x14ac:dyDescent="0.25">
      <c r="A15" s="7"/>
      <c r="B15" s="7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7"/>
      <c r="F15" s="7"/>
      <c r="G15" s="7"/>
      <c r="H15" s="7"/>
    </row>
    <row r="16" spans="1:8" x14ac:dyDescent="0.25">
      <c r="A16" s="7"/>
      <c r="B16" s="7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7"/>
      <c r="F16" s="7"/>
      <c r="G16" s="7"/>
      <c r="H16" s="7"/>
    </row>
    <row r="17" spans="1:8" x14ac:dyDescent="0.25">
      <c r="A17" s="7"/>
      <c r="B17" s="7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7"/>
      <c r="F17" s="7"/>
      <c r="G17" s="7"/>
      <c r="H17" s="7"/>
    </row>
    <row r="18" spans="1:8" x14ac:dyDescent="0.25">
      <c r="A18" s="7"/>
      <c r="B18" s="7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7"/>
      <c r="F18" s="7"/>
      <c r="G18" s="7"/>
      <c r="H18" s="7"/>
    </row>
    <row r="19" spans="1:8" x14ac:dyDescent="0.25">
      <c r="A19" s="7"/>
      <c r="B19" s="7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7"/>
      <c r="F19" s="7"/>
      <c r="G19" s="7"/>
      <c r="H19" s="7"/>
    </row>
    <row r="20" spans="1:8" x14ac:dyDescent="0.25">
      <c r="A20" s="7"/>
      <c r="B20" s="7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7"/>
      <c r="F20" s="7"/>
      <c r="G20" s="7"/>
      <c r="H20" s="7"/>
    </row>
    <row r="21" spans="1:8" x14ac:dyDescent="0.25">
      <c r="A21" s="7"/>
      <c r="B21" s="7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7"/>
      <c r="F21" s="7"/>
      <c r="G21" s="7"/>
      <c r="H21" s="7"/>
    </row>
  </sheetData>
  <sheetProtection algorithmName="SHA-512" hashValue="/C7Nv/GerhtTHLzrBXIqQ7gir82+VQ9I+IqVb2IF4elxi1ht3jA8Epb283r+e2Kj9hkrGP+cbqLJzZ1he6g+Tw==" saltValue="Q6sTS233K9Y1RLTbRXOhi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C24" sqref="C24"/>
    </sheetView>
  </sheetViews>
  <sheetFormatPr defaultRowHeight="15" x14ac:dyDescent="0.25"/>
  <cols>
    <col min="1" max="1" width="12.28515625" bestFit="1" customWidth="1"/>
    <col min="2" max="2" width="13.140625" customWidth="1"/>
    <col min="3" max="3" width="27.140625" customWidth="1"/>
    <col min="4" max="4" width="25.5703125" customWidth="1"/>
  </cols>
  <sheetData>
    <row r="1" spans="1:4" x14ac:dyDescent="0.25">
      <c r="A1" s="2" t="s">
        <v>2</v>
      </c>
      <c r="B1" t="s">
        <v>17</v>
      </c>
      <c r="C1" t="s">
        <v>36</v>
      </c>
      <c r="D1" t="s">
        <v>37</v>
      </c>
    </row>
    <row r="2" spans="1:4" x14ac:dyDescent="0.25">
      <c r="A2" s="3" t="str" cm="1">
        <f t="array" ref="A2:A4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7">
        <v>8</v>
      </c>
      <c r="D2" s="7">
        <v>3</v>
      </c>
    </row>
    <row r="3" spans="1:4" x14ac:dyDescent="0.25">
      <c r="A3" s="3" t="str">
        <v>Airbus EC135</v>
      </c>
      <c r="B3" s="4" t="str">
        <f>IF(ISBLANK(A3),"", VLOOKUP(A3,callsign_registration_lookup!C2:E7,2,FALSE))</f>
        <v>helicopter</v>
      </c>
      <c r="C3" s="7">
        <v>12</v>
      </c>
      <c r="D3" s="7">
        <v>3</v>
      </c>
    </row>
    <row r="4" spans="1:4" x14ac:dyDescent="0.25">
      <c r="A4" s="3" t="str">
        <v>Volvo XC90</v>
      </c>
      <c r="B4" s="4" t="str">
        <f>IF(ISBLANK(A4),"", VLOOKUP(A4,callsign_registration_lookup!C3:E8,2,FALSE))</f>
        <v>car</v>
      </c>
      <c r="C4" s="7">
        <v>0</v>
      </c>
      <c r="D4" s="7">
        <v>0</v>
      </c>
    </row>
    <row r="5" spans="1:4" x14ac:dyDescent="0.25">
      <c r="A5" s="3"/>
      <c r="B5" s="4" t="str">
        <f>IF(ISBLANK(A5),"", VLOOKUP(A5,callsign_registration_lookup!C4:E9,2,FALSE))</f>
        <v/>
      </c>
      <c r="C5" s="8"/>
      <c r="D5" s="8"/>
    </row>
    <row r="6" spans="1:4" x14ac:dyDescent="0.25">
      <c r="A6" s="3"/>
      <c r="B6" s="4" t="str">
        <f>IF(ISBLANK(A6),"", VLOOKUP(A6,callsign_registration_lookup!C5:E10,2,FALSE))</f>
        <v/>
      </c>
      <c r="C6" s="8"/>
      <c r="D6" s="8"/>
    </row>
    <row r="7" spans="1:4" x14ac:dyDescent="0.25">
      <c r="A7" s="3"/>
      <c r="B7" s="4" t="str">
        <f>IF(ISBLANK(A7),"", VLOOKUP(A7,callsign_registration_lookup!C6:E11,2,FALSE))</f>
        <v/>
      </c>
      <c r="C7" s="8"/>
      <c r="D7" s="8"/>
    </row>
    <row r="8" spans="1:4" x14ac:dyDescent="0.25">
      <c r="A8" s="3"/>
      <c r="B8" s="4" t="str">
        <f>IF(ISBLANK(A8),"", VLOOKUP(A8,callsign_registration_lookup!C7:E12,2,FALSE))</f>
        <v/>
      </c>
      <c r="C8" s="8"/>
      <c r="D8" s="8"/>
    </row>
    <row r="9" spans="1:4" x14ac:dyDescent="0.25">
      <c r="A9" s="3"/>
      <c r="B9" s="4" t="str">
        <f>IF(ISBLANK(A9),"", VLOOKUP(A9,callsign_registration_lookup!C8:E13,2,FALSE))</f>
        <v/>
      </c>
      <c r="C9" s="8"/>
      <c r="D9" s="8"/>
    </row>
    <row r="10" spans="1:4" x14ac:dyDescent="0.25">
      <c r="A10" s="3"/>
      <c r="B10" s="4" t="str">
        <f>IF(ISBLANK(A10),"", VLOOKUP(A10,callsign_registration_lookup!C9:E14,2,FALSE))</f>
        <v/>
      </c>
      <c r="C10" s="8"/>
      <c r="D10" s="8"/>
    </row>
    <row r="11" spans="1:4" x14ac:dyDescent="0.25">
      <c r="A11" s="3"/>
      <c r="B11" s="4" t="str">
        <f>IF(ISBLANK(A11),"", VLOOKUP(A11,callsign_registration_lookup!C10:E15,2,FALSE))</f>
        <v/>
      </c>
      <c r="C11" s="8"/>
      <c r="D11" s="8"/>
    </row>
    <row r="12" spans="1:4" x14ac:dyDescent="0.25">
      <c r="A12" s="3"/>
      <c r="B12" s="4" t="str">
        <f>IF(ISBLANK(A12),"", VLOOKUP(A12,callsign_registration_lookup!C11:E16,2,FALSE))</f>
        <v/>
      </c>
      <c r="C12" s="8"/>
      <c r="D12" s="8"/>
    </row>
    <row r="13" spans="1:4" x14ac:dyDescent="0.25">
      <c r="A13" s="3"/>
      <c r="B13" s="4" t="str">
        <f>IF(ISBLANK(A13),"", VLOOKUP(A13,callsign_registration_lookup!C12:E17,2,FALSE))</f>
        <v/>
      </c>
      <c r="C13" s="8"/>
      <c r="D13" s="8"/>
    </row>
    <row r="14" spans="1:4" x14ac:dyDescent="0.25">
      <c r="A14" s="3"/>
      <c r="B14" s="4" t="str">
        <f>IF(ISBLANK(A14),"", VLOOKUP(A14,callsign_registration_lookup!C13:E18,2,FALSE))</f>
        <v/>
      </c>
      <c r="C14" s="8"/>
      <c r="D14" s="8"/>
    </row>
    <row r="15" spans="1:4" x14ac:dyDescent="0.25">
      <c r="A15" s="3"/>
      <c r="B15" s="4" t="str">
        <f>IF(ISBLANK(A15),"", VLOOKUP(A15,callsign_registration_lookup!C14:E19,2,FALSE))</f>
        <v/>
      </c>
      <c r="C15" s="8"/>
      <c r="D15" s="8"/>
    </row>
    <row r="16" spans="1:4" x14ac:dyDescent="0.25">
      <c r="A16" s="3"/>
      <c r="B16" s="4" t="str">
        <f>IF(ISBLANK(A16),"", VLOOKUP(A16,callsign_registration_lookup!C15:E20,2,FALSE))</f>
        <v/>
      </c>
      <c r="C16" s="8"/>
      <c r="D16" s="8"/>
    </row>
    <row r="17" spans="1:4" x14ac:dyDescent="0.25">
      <c r="A17" s="3"/>
      <c r="B17" s="4" t="str">
        <f>IF(ISBLANK(A17),"", VLOOKUP(A17,callsign_registration_lookup!C16:E21,2,FALSE))</f>
        <v/>
      </c>
      <c r="C17" s="8"/>
      <c r="D17" s="8"/>
    </row>
    <row r="18" spans="1:4" x14ac:dyDescent="0.25">
      <c r="A18" s="3"/>
      <c r="B18" s="4" t="str">
        <f>IF(ISBLANK(A18),"", VLOOKUP(A18,callsign_registration_lookup!C17:E22,2,FALSE))</f>
        <v/>
      </c>
      <c r="C18" s="8"/>
      <c r="D18" s="8"/>
    </row>
    <row r="19" spans="1:4" x14ac:dyDescent="0.25">
      <c r="A19" s="3"/>
      <c r="B19" s="4" t="str">
        <f>IF(ISBLANK(A19),"", VLOOKUP(A19,callsign_registration_lookup!C18:E23,2,FALSE))</f>
        <v/>
      </c>
      <c r="C19" s="8"/>
      <c r="D19" s="8"/>
    </row>
  </sheetData>
  <sheetProtection algorithmName="SHA-512" hashValue="LvoYqGSoEXG7PaBsFi31NYs/RjmclOBt4vyAAw7JkF+gd0RPMpG1XvHKNLiSY4nM3ViwCTC+d5nxPIap6+NB3w==" saltValue="pee6wS7OjioIHGz/BClY5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E17" sqref="E17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4" t="s">
        <v>31</v>
      </c>
      <c r="B2" s="7" t="s">
        <v>32</v>
      </c>
    </row>
    <row r="3" spans="1:2" x14ac:dyDescent="0.25">
      <c r="A3" s="4" t="s">
        <v>33</v>
      </c>
      <c r="B3" s="7" t="s">
        <v>34</v>
      </c>
    </row>
    <row r="4" spans="1:2" x14ac:dyDescent="0.25">
      <c r="A4" s="4" t="s">
        <v>29</v>
      </c>
      <c r="B4" s="4">
        <f>MONTH(1&amp;B2)</f>
        <v>4</v>
      </c>
    </row>
    <row r="5" spans="1:2" x14ac:dyDescent="0.25">
      <c r="A5" s="4" t="s">
        <v>30</v>
      </c>
      <c r="B5" s="4">
        <f>MONTH(1&amp;B3)</f>
        <v>10</v>
      </c>
    </row>
  </sheetData>
  <sheetProtection algorithmName="SHA-512" hashValue="GndPDRo+oGYAy19pHSiUr0arihZLUnXVLvo2opbaIB0ySWCZDcVsXL5xLwppPY4ljfDft9IF0OBLDpFAJR27tg==" saltValue="xAielLV870BJVYRNZxj4N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G21" sqref="G21"/>
    </sheetView>
  </sheetViews>
  <sheetFormatPr defaultRowHeight="15" x14ac:dyDescent="0.25"/>
  <cols>
    <col min="1" max="1" width="15.7109375" bestFit="1" customWidth="1"/>
    <col min="2" max="2" width="20.5703125" customWidth="1"/>
    <col min="3" max="3" width="20.7109375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 s="4" t="s">
        <v>41</v>
      </c>
      <c r="B2" s="7">
        <v>0</v>
      </c>
      <c r="C2" s="7">
        <v>119</v>
      </c>
    </row>
    <row r="3" spans="1:3" x14ac:dyDescent="0.25">
      <c r="A3" s="4" t="s">
        <v>42</v>
      </c>
      <c r="B3" s="7">
        <v>0</v>
      </c>
      <c r="C3" s="7">
        <v>29</v>
      </c>
    </row>
    <row r="4" spans="1:3" x14ac:dyDescent="0.25">
      <c r="A4" s="4" t="s">
        <v>43</v>
      </c>
      <c r="B4" s="7">
        <v>1</v>
      </c>
      <c r="C4" s="7">
        <v>59</v>
      </c>
    </row>
    <row r="5" spans="1:3" x14ac:dyDescent="0.25">
      <c r="A5" s="4" t="s">
        <v>44</v>
      </c>
      <c r="B5" s="7">
        <v>1</v>
      </c>
      <c r="C5" s="7">
        <v>119</v>
      </c>
    </row>
    <row r="6" spans="1:3" x14ac:dyDescent="0.25">
      <c r="A6" s="4" t="s">
        <v>45</v>
      </c>
      <c r="B6" s="7">
        <v>1</v>
      </c>
      <c r="C6" s="7">
        <v>139</v>
      </c>
    </row>
    <row r="7" spans="1:3" x14ac:dyDescent="0.25">
      <c r="A7" s="4" t="s">
        <v>46</v>
      </c>
      <c r="B7" s="7">
        <v>1</v>
      </c>
      <c r="C7" s="7">
        <v>89</v>
      </c>
    </row>
  </sheetData>
  <sheetProtection algorithmName="SHA-512" hashValue="VucL9zaZ1t2Tp1/asweZdNHZDMzblLfj7HW2TJNeACKD8BYrtCJpEcxC7CNemu+EnhwKcd0bjA4ujJ02vEq/Gg==" saltValue="9wozZG2E8ZS6oqcs6gnF8w==" spinCount="100000" sheet="1" objects="1" scenarios="1"/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5" x14ac:dyDescent="0.25"/>
  <cols>
    <col min="1" max="1" width="16.5703125" customWidth="1"/>
    <col min="2" max="2" width="21.28515625" customWidth="1"/>
  </cols>
  <sheetData>
    <row r="1" spans="1:2" x14ac:dyDescent="0.25">
      <c r="A1" s="5" t="s">
        <v>0</v>
      </c>
      <c r="B1" t="s">
        <v>35</v>
      </c>
    </row>
    <row r="2" spans="1:2" x14ac:dyDescent="0.25">
      <c r="A2" s="3" t="str" cm="1">
        <f t="array" ref="A2:A6">_xlfn.UNIQUE(_xlfn._xlws.FILTER(Table2[registration], Table2[registration] &lt;&gt; ""))</f>
        <v>g-daas</v>
      </c>
      <c r="B2" s="9">
        <v>44565</v>
      </c>
    </row>
    <row r="3" spans="1:2" x14ac:dyDescent="0.25">
      <c r="A3" s="3" t="str">
        <v>g-daan</v>
      </c>
      <c r="B3" s="9">
        <v>44640</v>
      </c>
    </row>
    <row r="4" spans="1:2" x14ac:dyDescent="0.25">
      <c r="A4" s="3" t="str">
        <v>cc70</v>
      </c>
      <c r="B4" s="7">
        <v>0</v>
      </c>
    </row>
    <row r="5" spans="1:2" x14ac:dyDescent="0.25">
      <c r="A5" s="3" t="str">
        <v>cc71</v>
      </c>
      <c r="B5" s="7">
        <v>0</v>
      </c>
    </row>
    <row r="6" spans="1:2" x14ac:dyDescent="0.25">
      <c r="A6" s="3" t="str">
        <v>cc72</v>
      </c>
      <c r="B6" s="7">
        <v>0</v>
      </c>
    </row>
    <row r="7" spans="1:2" x14ac:dyDescent="0.25">
      <c r="A7" s="3"/>
      <c r="B7" s="8"/>
    </row>
    <row r="8" spans="1:2" x14ac:dyDescent="0.25">
      <c r="A8" s="3"/>
      <c r="B8" s="8"/>
    </row>
    <row r="9" spans="1:2" x14ac:dyDescent="0.25">
      <c r="A9" s="3"/>
      <c r="B9" s="8"/>
    </row>
    <row r="10" spans="1:2" x14ac:dyDescent="0.25">
      <c r="A10" s="3"/>
      <c r="B10" s="8"/>
    </row>
    <row r="11" spans="1:2" x14ac:dyDescent="0.25">
      <c r="A11" s="3"/>
      <c r="B11" s="8"/>
    </row>
    <row r="12" spans="1:2" x14ac:dyDescent="0.25">
      <c r="A12" s="3"/>
      <c r="B12" s="8"/>
    </row>
    <row r="13" spans="1:2" x14ac:dyDescent="0.25">
      <c r="A13" s="3"/>
      <c r="B13" s="8"/>
    </row>
    <row r="14" spans="1:2" x14ac:dyDescent="0.25">
      <c r="A14" s="3"/>
      <c r="B14" s="8"/>
    </row>
    <row r="15" spans="1:2" x14ac:dyDescent="0.25">
      <c r="A15" s="3"/>
      <c r="B15" s="8"/>
    </row>
    <row r="16" spans="1:2" x14ac:dyDescent="0.25">
      <c r="A16" s="3"/>
      <c r="B16" s="8"/>
    </row>
    <row r="17" spans="1:2" x14ac:dyDescent="0.25">
      <c r="A17" s="3"/>
      <c r="B17" s="8"/>
    </row>
    <row r="18" spans="1:2" x14ac:dyDescent="0.25">
      <c r="A18" s="3"/>
      <c r="B18" s="8"/>
    </row>
    <row r="19" spans="1:2" x14ac:dyDescent="0.25">
      <c r="A19" s="3"/>
      <c r="B19" s="8"/>
    </row>
    <row r="20" spans="1:2" x14ac:dyDescent="0.25">
      <c r="A20" s="3"/>
      <c r="B20" s="8"/>
    </row>
  </sheetData>
  <sheetProtection algorithmName="SHA-512" hashValue="VRuVNnQZulxhthgTev7bi+q6ZXYN/FPeH0CBLB3mQjaa4wAPAZoFoIq/gEODLsvP5zhySFdyE3MEgRYrmqjvNw==" saltValue="3Ze0P+9chuBIMtrw6mpFJ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79A-DE70-441B-AB11-9139E7B03EF5}">
  <dimension ref="A1:C71"/>
  <sheetViews>
    <sheetView workbookViewId="0">
      <selection activeCell="F11" sqref="F11"/>
    </sheetView>
  </sheetViews>
  <sheetFormatPr defaultRowHeight="15" x14ac:dyDescent="0.25"/>
  <cols>
    <col min="2" max="2" width="11.28515625" customWidth="1"/>
    <col min="3" max="3" width="10.710937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s="4">
        <f t="shared" ref="A2:A43" si="0">IF(ISBLANK(B2), "", YEAR(B2))</f>
        <v>2023</v>
      </c>
      <c r="B2" s="11">
        <v>44927</v>
      </c>
      <c r="C2" s="11">
        <v>44928</v>
      </c>
    </row>
    <row r="3" spans="1:3" x14ac:dyDescent="0.25">
      <c r="A3" s="4">
        <f t="shared" si="0"/>
        <v>2023</v>
      </c>
      <c r="B3" s="11">
        <v>44970</v>
      </c>
      <c r="C3" s="11">
        <v>44974</v>
      </c>
    </row>
    <row r="4" spans="1:3" x14ac:dyDescent="0.25">
      <c r="A4" s="4">
        <f t="shared" si="0"/>
        <v>2023</v>
      </c>
      <c r="B4" s="11">
        <v>45019</v>
      </c>
      <c r="C4" s="11">
        <v>45033</v>
      </c>
    </row>
    <row r="5" spans="1:3" x14ac:dyDescent="0.25">
      <c r="A5" s="4">
        <f t="shared" si="0"/>
        <v>2023</v>
      </c>
      <c r="B5" s="11">
        <v>45075</v>
      </c>
      <c r="C5" s="11">
        <v>45081</v>
      </c>
    </row>
    <row r="6" spans="1:3" x14ac:dyDescent="0.25">
      <c r="A6" s="4">
        <f t="shared" si="0"/>
        <v>2023</v>
      </c>
      <c r="B6" s="11">
        <v>45138</v>
      </c>
      <c r="C6" s="11">
        <v>45173</v>
      </c>
    </row>
    <row r="7" spans="1:3" x14ac:dyDescent="0.25">
      <c r="A7" s="4">
        <f t="shared" si="0"/>
        <v>2023</v>
      </c>
      <c r="B7" s="11">
        <v>45222</v>
      </c>
      <c r="C7" s="11">
        <v>45228</v>
      </c>
    </row>
    <row r="8" spans="1:3" x14ac:dyDescent="0.25">
      <c r="A8" s="4">
        <f t="shared" si="0"/>
        <v>2023</v>
      </c>
      <c r="B8" s="11">
        <v>45278</v>
      </c>
      <c r="C8" s="11">
        <v>45291</v>
      </c>
    </row>
    <row r="9" spans="1:3" x14ac:dyDescent="0.25">
      <c r="A9" s="4">
        <f t="shared" si="0"/>
        <v>2024</v>
      </c>
      <c r="B9" s="11">
        <v>45292</v>
      </c>
      <c r="C9" s="11">
        <v>45292</v>
      </c>
    </row>
    <row r="10" spans="1:3" x14ac:dyDescent="0.25">
      <c r="A10" s="4">
        <f t="shared" si="0"/>
        <v>2024</v>
      </c>
      <c r="B10" s="11">
        <v>45334</v>
      </c>
      <c r="C10" s="11">
        <v>45338</v>
      </c>
    </row>
    <row r="11" spans="1:3" x14ac:dyDescent="0.25">
      <c r="A11" s="4">
        <f t="shared" si="0"/>
        <v>2024</v>
      </c>
      <c r="B11" s="11">
        <v>45383</v>
      </c>
      <c r="C11" s="11">
        <v>45396</v>
      </c>
    </row>
    <row r="12" spans="1:3" x14ac:dyDescent="0.25">
      <c r="A12" s="4">
        <f t="shared" si="0"/>
        <v>2024</v>
      </c>
      <c r="B12" s="11">
        <v>45439</v>
      </c>
      <c r="C12" s="11">
        <v>45445</v>
      </c>
    </row>
    <row r="13" spans="1:3" x14ac:dyDescent="0.25">
      <c r="A13" s="4">
        <f t="shared" si="0"/>
        <v>2024</v>
      </c>
      <c r="B13" s="11">
        <v>45502</v>
      </c>
      <c r="C13" s="11">
        <v>45537</v>
      </c>
    </row>
    <row r="14" spans="1:3" x14ac:dyDescent="0.25">
      <c r="A14" s="4">
        <f t="shared" si="0"/>
        <v>2024</v>
      </c>
      <c r="B14" s="11">
        <v>45593</v>
      </c>
      <c r="C14" s="11">
        <v>45599</v>
      </c>
    </row>
    <row r="15" spans="1:3" x14ac:dyDescent="0.25">
      <c r="A15" s="4">
        <f t="shared" si="0"/>
        <v>2024</v>
      </c>
      <c r="B15" s="11">
        <v>45649</v>
      </c>
      <c r="C15" s="11">
        <v>45657</v>
      </c>
    </row>
    <row r="16" spans="1:3" x14ac:dyDescent="0.25">
      <c r="A16" s="4">
        <f t="shared" si="0"/>
        <v>2025</v>
      </c>
      <c r="B16" s="11">
        <v>45658</v>
      </c>
      <c r="C16" s="11">
        <v>45662</v>
      </c>
    </row>
    <row r="17" spans="1:3" x14ac:dyDescent="0.25">
      <c r="A17" s="4">
        <f t="shared" si="0"/>
        <v>2025</v>
      </c>
      <c r="B17" s="11">
        <v>45705</v>
      </c>
      <c r="C17" s="11">
        <v>45711</v>
      </c>
    </row>
    <row r="18" spans="1:3" x14ac:dyDescent="0.25">
      <c r="A18" s="4">
        <f t="shared" si="0"/>
        <v>2025</v>
      </c>
      <c r="B18" s="11">
        <v>45754</v>
      </c>
      <c r="C18" s="11">
        <v>45768</v>
      </c>
    </row>
    <row r="19" spans="1:3" x14ac:dyDescent="0.25">
      <c r="A19" s="4">
        <f t="shared" si="0"/>
        <v>2025</v>
      </c>
      <c r="B19" s="11">
        <v>45803</v>
      </c>
      <c r="C19" s="11">
        <v>45809</v>
      </c>
    </row>
    <row r="20" spans="1:3" x14ac:dyDescent="0.25">
      <c r="A20" s="4">
        <f t="shared" si="0"/>
        <v>2025</v>
      </c>
      <c r="B20" s="11">
        <v>45866</v>
      </c>
      <c r="C20" s="11">
        <v>45901</v>
      </c>
    </row>
    <row r="21" spans="1:3" x14ac:dyDescent="0.25">
      <c r="A21" s="4">
        <f t="shared" si="0"/>
        <v>2025</v>
      </c>
      <c r="B21" s="11">
        <v>45957</v>
      </c>
      <c r="C21" s="11">
        <v>45963</v>
      </c>
    </row>
    <row r="22" spans="1:3" x14ac:dyDescent="0.25">
      <c r="A22" s="4">
        <f t="shared" si="0"/>
        <v>2025</v>
      </c>
      <c r="B22" s="11">
        <v>46013</v>
      </c>
      <c r="C22" s="11">
        <v>46022</v>
      </c>
    </row>
    <row r="23" spans="1:3" x14ac:dyDescent="0.25">
      <c r="A23" s="4">
        <f t="shared" si="0"/>
        <v>2026</v>
      </c>
      <c r="B23" s="11">
        <v>46023</v>
      </c>
      <c r="C23" s="11">
        <v>46026</v>
      </c>
    </row>
    <row r="24" spans="1:3" x14ac:dyDescent="0.25">
      <c r="A24" s="4">
        <f t="shared" si="0"/>
        <v>2026</v>
      </c>
      <c r="B24" s="11">
        <v>46069</v>
      </c>
      <c r="C24" s="11">
        <v>46075</v>
      </c>
    </row>
    <row r="25" spans="1:3" x14ac:dyDescent="0.25">
      <c r="A25" s="4">
        <f t="shared" si="0"/>
        <v>2026</v>
      </c>
      <c r="B25" s="11">
        <v>46115</v>
      </c>
      <c r="C25" s="11">
        <v>46131</v>
      </c>
    </row>
    <row r="26" spans="1:3" x14ac:dyDescent="0.25">
      <c r="A26" s="4">
        <f t="shared" si="0"/>
        <v>2026</v>
      </c>
      <c r="B26" s="11">
        <v>46167</v>
      </c>
      <c r="C26" s="11">
        <v>46173</v>
      </c>
    </row>
    <row r="27" spans="1:3" x14ac:dyDescent="0.25">
      <c r="A27" s="4">
        <f t="shared" si="0"/>
        <v>2026</v>
      </c>
      <c r="B27" s="11">
        <v>46230</v>
      </c>
      <c r="C27" s="11">
        <v>46267</v>
      </c>
    </row>
    <row r="28" spans="1:3" x14ac:dyDescent="0.25">
      <c r="A28" s="4">
        <f t="shared" si="0"/>
        <v>2026</v>
      </c>
      <c r="B28" s="11">
        <v>46321</v>
      </c>
      <c r="C28" s="11">
        <v>46296</v>
      </c>
    </row>
    <row r="29" spans="1:3" x14ac:dyDescent="0.25">
      <c r="A29" s="4">
        <f t="shared" si="0"/>
        <v>2026</v>
      </c>
      <c r="B29" s="11">
        <v>46377</v>
      </c>
      <c r="C29" s="11">
        <v>46387</v>
      </c>
    </row>
    <row r="30" spans="1:3" x14ac:dyDescent="0.25">
      <c r="A30" s="4">
        <f t="shared" si="0"/>
        <v>2027</v>
      </c>
      <c r="B30" s="11">
        <v>46388</v>
      </c>
      <c r="C30" s="11">
        <v>46390</v>
      </c>
    </row>
    <row r="31" spans="1:3" x14ac:dyDescent="0.25">
      <c r="A31" s="4">
        <f t="shared" si="0"/>
        <v>2027</v>
      </c>
      <c r="B31" s="11">
        <v>46433</v>
      </c>
      <c r="C31" s="11">
        <v>46439</v>
      </c>
    </row>
    <row r="32" spans="1:3" x14ac:dyDescent="0.25">
      <c r="A32" s="4">
        <f t="shared" si="0"/>
        <v>2027</v>
      </c>
      <c r="B32" s="11">
        <v>46472</v>
      </c>
      <c r="C32" s="11">
        <v>46488</v>
      </c>
    </row>
    <row r="33" spans="1:3" x14ac:dyDescent="0.25">
      <c r="A33" s="4">
        <f t="shared" si="0"/>
        <v>2027</v>
      </c>
      <c r="B33" s="11">
        <v>46538</v>
      </c>
      <c r="C33" s="11">
        <v>46544</v>
      </c>
    </row>
    <row r="34" spans="1:3" x14ac:dyDescent="0.25">
      <c r="A34" s="4">
        <f t="shared" si="0"/>
        <v>2027</v>
      </c>
      <c r="B34" s="11">
        <v>46596</v>
      </c>
      <c r="C34" s="11">
        <v>46631</v>
      </c>
    </row>
    <row r="35" spans="1:3" x14ac:dyDescent="0.25">
      <c r="A35" s="4">
        <f t="shared" si="0"/>
        <v>2027</v>
      </c>
      <c r="B35" s="11">
        <v>46685</v>
      </c>
      <c r="C35" s="11">
        <v>46691</v>
      </c>
    </row>
    <row r="36" spans="1:3" x14ac:dyDescent="0.25">
      <c r="A36" s="4">
        <f t="shared" si="0"/>
        <v>2027</v>
      </c>
      <c r="B36" s="11">
        <v>46744</v>
      </c>
      <c r="C36" s="11">
        <v>46752</v>
      </c>
    </row>
    <row r="37" spans="1:3" x14ac:dyDescent="0.25">
      <c r="A37" s="4" t="str">
        <f t="shared" si="0"/>
        <v/>
      </c>
      <c r="B37" s="7"/>
      <c r="C37" s="7"/>
    </row>
    <row r="38" spans="1:3" x14ac:dyDescent="0.25">
      <c r="A38" s="4" t="str">
        <f t="shared" si="0"/>
        <v/>
      </c>
      <c r="B38" s="7"/>
      <c r="C38" s="7"/>
    </row>
    <row r="39" spans="1:3" x14ac:dyDescent="0.25">
      <c r="A39" s="4" t="str">
        <f t="shared" si="0"/>
        <v/>
      </c>
      <c r="B39" s="7"/>
      <c r="C39" s="7"/>
    </row>
    <row r="40" spans="1:3" x14ac:dyDescent="0.25">
      <c r="A40" s="4" t="str">
        <f t="shared" si="0"/>
        <v/>
      </c>
      <c r="B40" s="7"/>
      <c r="C40" s="7"/>
    </row>
    <row r="41" spans="1:3" x14ac:dyDescent="0.25">
      <c r="A41" s="4" t="str">
        <f t="shared" si="0"/>
        <v/>
      </c>
      <c r="B41" s="7"/>
      <c r="C41" s="7"/>
    </row>
    <row r="42" spans="1:3" x14ac:dyDescent="0.25">
      <c r="A42" s="4" t="str">
        <f t="shared" si="0"/>
        <v/>
      </c>
      <c r="B42" s="7"/>
      <c r="C42" s="7"/>
    </row>
    <row r="43" spans="1:3" x14ac:dyDescent="0.25">
      <c r="A43" s="4" t="str">
        <f t="shared" si="0"/>
        <v/>
      </c>
      <c r="B43" s="7"/>
      <c r="C43" s="7"/>
    </row>
    <row r="44" spans="1:3" x14ac:dyDescent="0.25">
      <c r="A44" s="4" t="str">
        <f t="shared" ref="A44:A71" si="1">IF(ISBLANK(B44), "", YEAR(B44))</f>
        <v/>
      </c>
      <c r="B44" s="7"/>
      <c r="C44" s="7"/>
    </row>
    <row r="45" spans="1:3" x14ac:dyDescent="0.25">
      <c r="A45" s="4" t="str">
        <f t="shared" si="1"/>
        <v/>
      </c>
      <c r="B45" s="7"/>
      <c r="C45" s="7"/>
    </row>
    <row r="46" spans="1:3" x14ac:dyDescent="0.25">
      <c r="A46" s="4" t="str">
        <f t="shared" si="1"/>
        <v/>
      </c>
      <c r="B46" s="7"/>
      <c r="C46" s="7"/>
    </row>
    <row r="47" spans="1:3" x14ac:dyDescent="0.25">
      <c r="A47" s="4" t="str">
        <f t="shared" si="1"/>
        <v/>
      </c>
      <c r="B47" s="7"/>
      <c r="C47" s="7"/>
    </row>
    <row r="48" spans="1:3" x14ac:dyDescent="0.25">
      <c r="A48" s="4" t="str">
        <f t="shared" si="1"/>
        <v/>
      </c>
      <c r="B48" s="7"/>
      <c r="C48" s="7"/>
    </row>
    <row r="49" spans="1:3" x14ac:dyDescent="0.25">
      <c r="A49" s="4" t="str">
        <f t="shared" si="1"/>
        <v/>
      </c>
      <c r="B49" s="7"/>
      <c r="C49" s="7"/>
    </row>
    <row r="50" spans="1:3" x14ac:dyDescent="0.25">
      <c r="A50" s="4" t="str">
        <f t="shared" si="1"/>
        <v/>
      </c>
      <c r="B50" s="7"/>
      <c r="C50" s="7"/>
    </row>
    <row r="51" spans="1:3" x14ac:dyDescent="0.25">
      <c r="A51" s="4" t="str">
        <f t="shared" si="1"/>
        <v/>
      </c>
      <c r="B51" s="7"/>
      <c r="C51" s="7"/>
    </row>
    <row r="52" spans="1:3" x14ac:dyDescent="0.25">
      <c r="A52" s="4" t="str">
        <f t="shared" si="1"/>
        <v/>
      </c>
      <c r="B52" s="7"/>
      <c r="C52" s="7"/>
    </row>
    <row r="53" spans="1:3" x14ac:dyDescent="0.25">
      <c r="A53" s="4" t="str">
        <f t="shared" si="1"/>
        <v/>
      </c>
      <c r="B53" s="7"/>
      <c r="C53" s="7"/>
    </row>
    <row r="54" spans="1:3" x14ac:dyDescent="0.25">
      <c r="A54" s="4" t="str">
        <f t="shared" si="1"/>
        <v/>
      </c>
      <c r="B54" s="7"/>
      <c r="C54" s="7"/>
    </row>
    <row r="55" spans="1:3" x14ac:dyDescent="0.25">
      <c r="A55" s="4" t="str">
        <f t="shared" si="1"/>
        <v/>
      </c>
      <c r="B55" s="7"/>
      <c r="C55" s="7"/>
    </row>
    <row r="56" spans="1:3" x14ac:dyDescent="0.25">
      <c r="A56" s="4" t="str">
        <f t="shared" si="1"/>
        <v/>
      </c>
      <c r="B56" s="7"/>
      <c r="C56" s="7"/>
    </row>
    <row r="57" spans="1:3" x14ac:dyDescent="0.25">
      <c r="A57" s="4" t="str">
        <f t="shared" si="1"/>
        <v/>
      </c>
      <c r="B57" s="7"/>
      <c r="C57" s="7"/>
    </row>
    <row r="58" spans="1:3" x14ac:dyDescent="0.25">
      <c r="A58" s="4" t="str">
        <f t="shared" si="1"/>
        <v/>
      </c>
      <c r="B58" s="7"/>
      <c r="C58" s="7"/>
    </row>
    <row r="59" spans="1:3" x14ac:dyDescent="0.25">
      <c r="A59" s="4" t="str">
        <f t="shared" si="1"/>
        <v/>
      </c>
      <c r="B59" s="7"/>
      <c r="C59" s="7"/>
    </row>
    <row r="60" spans="1:3" x14ac:dyDescent="0.25">
      <c r="A60" s="4" t="str">
        <f t="shared" si="1"/>
        <v/>
      </c>
      <c r="B60" s="7"/>
      <c r="C60" s="7"/>
    </row>
    <row r="61" spans="1:3" x14ac:dyDescent="0.25">
      <c r="A61" s="4" t="str">
        <f t="shared" si="1"/>
        <v/>
      </c>
      <c r="B61" s="7"/>
      <c r="C61" s="7"/>
    </row>
    <row r="62" spans="1:3" x14ac:dyDescent="0.25">
      <c r="A62" s="4" t="str">
        <f t="shared" si="1"/>
        <v/>
      </c>
      <c r="B62" s="7"/>
      <c r="C62" s="7"/>
    </row>
    <row r="63" spans="1:3" x14ac:dyDescent="0.25">
      <c r="A63" s="4" t="str">
        <f t="shared" si="1"/>
        <v/>
      </c>
      <c r="B63" s="7"/>
      <c r="C63" s="7"/>
    </row>
    <row r="64" spans="1:3" x14ac:dyDescent="0.25">
      <c r="A64" s="4" t="str">
        <f t="shared" si="1"/>
        <v/>
      </c>
      <c r="B64" s="7"/>
      <c r="C64" s="7"/>
    </row>
    <row r="65" spans="1:3" x14ac:dyDescent="0.25">
      <c r="A65" s="4" t="str">
        <f t="shared" si="1"/>
        <v/>
      </c>
      <c r="B65" s="7"/>
      <c r="C65" s="7"/>
    </row>
    <row r="66" spans="1:3" x14ac:dyDescent="0.25">
      <c r="A66" s="4" t="str">
        <f t="shared" si="1"/>
        <v/>
      </c>
      <c r="B66" s="7"/>
      <c r="C66" s="7"/>
    </row>
    <row r="67" spans="1:3" x14ac:dyDescent="0.25">
      <c r="A67" s="4" t="str">
        <f t="shared" si="1"/>
        <v/>
      </c>
      <c r="B67" s="7"/>
      <c r="C67" s="7"/>
    </row>
    <row r="68" spans="1:3" x14ac:dyDescent="0.25">
      <c r="A68" s="4" t="str">
        <f t="shared" si="1"/>
        <v/>
      </c>
      <c r="B68" s="7"/>
      <c r="C68" s="7"/>
    </row>
    <row r="69" spans="1:3" x14ac:dyDescent="0.25">
      <c r="A69" s="4" t="str">
        <f t="shared" si="1"/>
        <v/>
      </c>
      <c r="B69" s="7"/>
      <c r="C69" s="7"/>
    </row>
    <row r="70" spans="1:3" x14ac:dyDescent="0.25">
      <c r="A70" s="4" t="str">
        <f t="shared" si="1"/>
        <v/>
      </c>
      <c r="B70" s="7"/>
      <c r="C70" s="7"/>
    </row>
    <row r="71" spans="1:3" x14ac:dyDescent="0.25">
      <c r="A71" s="4" t="str">
        <f t="shared" si="1"/>
        <v/>
      </c>
      <c r="B71" s="7"/>
      <c r="C71" s="7"/>
    </row>
  </sheetData>
  <sheetProtection algorithmName="SHA-512" hashValue="uJ/TGKns8bEN2x4lezA6l+AX+MSrBt7ERvTOo3RAN7pRhVit3D3kzOQDBa9q6NhfzL3/Q/apZz7XB92GbtZk5Q==" saltValue="yNzU+9v7qun5QLg6hDWqyQ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D10" sqref="D10"/>
    </sheetView>
  </sheetViews>
  <sheetFormatPr defaultRowHeight="15" x14ac:dyDescent="0.25"/>
  <cols>
    <col min="1" max="1" width="34.85546875" bestFit="1" customWidth="1"/>
    <col min="2" max="2" width="16.5703125" customWidth="1"/>
  </cols>
  <sheetData>
    <row r="1" spans="1:2" x14ac:dyDescent="0.25">
      <c r="A1" t="s">
        <v>61</v>
      </c>
      <c r="B1" t="s">
        <v>62</v>
      </c>
    </row>
    <row r="2" spans="1:2" x14ac:dyDescent="0.25">
      <c r="A2" s="4" t="s">
        <v>60</v>
      </c>
      <c r="B2" s="7">
        <v>12</v>
      </c>
    </row>
    <row r="3" spans="1:2" x14ac:dyDescent="0.25">
      <c r="A3" s="4" t="s">
        <v>63</v>
      </c>
      <c r="B3" s="7">
        <v>730</v>
      </c>
    </row>
    <row r="4" spans="1:2" x14ac:dyDescent="0.25">
      <c r="A4" s="4" t="s">
        <v>64</v>
      </c>
      <c r="B4" s="7">
        <v>0</v>
      </c>
    </row>
    <row r="5" spans="1:2" x14ac:dyDescent="0.25">
      <c r="A5" s="4" t="s">
        <v>65</v>
      </c>
      <c r="B5" s="9">
        <v>44927</v>
      </c>
    </row>
    <row r="6" spans="1:2" x14ac:dyDescent="0.25">
      <c r="A6" s="4" t="s">
        <v>66</v>
      </c>
      <c r="B6" s="10">
        <v>0.33333333333333331</v>
      </c>
    </row>
    <row r="7" spans="1:2" x14ac:dyDescent="0.25">
      <c r="A7" s="4" t="s">
        <v>67</v>
      </c>
      <c r="B7" s="7">
        <v>42</v>
      </c>
    </row>
    <row r="8" spans="1:2" x14ac:dyDescent="0.25">
      <c r="A8" s="4" t="s">
        <v>68</v>
      </c>
      <c r="B8" s="7">
        <v>1</v>
      </c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</sheetData>
  <sheetProtection algorithmName="SHA-512" hashValue="4RWw8byRvsouS2ejnQwAlC8JBDRIGNCvghj1YcoDt9ZXDivjg2RZNcQCAfaEAom/yw/hJomUVjwsAYfo6mbuLQ==" saltValue="LTaQGoMfQr69UZUS+im5gg==" spinCount="100000" sheet="1" objects="1" scenarios="1"/>
  <dataValidations count="7">
    <dataValidation type="whole" allowBlank="1" showInputMessage="1" showErrorMessage="1" sqref="B2" xr:uid="{897BF7F9-6CA0-433A-82CE-9D771BA73A32}">
      <formula1>1</formula1>
      <formula2>200</formula2>
    </dataValidation>
    <dataValidation type="whole" allowBlank="1" showInputMessage="1" showErrorMessage="1" sqref="B3" xr:uid="{01B91ADB-1346-44B2-8435-853DFAABAD2A}">
      <formula1>1</formula1>
      <formula2>2000</formula2>
    </dataValidation>
    <dataValidation type="whole" allowBlank="1" showInputMessage="1" showErrorMessage="1" sqref="B4" xr:uid="{81F8D5B5-A844-4F0C-9DF5-8DBAD651F368}">
      <formula1>0</formula1>
      <formula2>1000</formula2>
    </dataValidation>
    <dataValidation type="date" allowBlank="1" showInputMessage="1" showErrorMessage="1" sqref="B5" xr:uid="{88C37E83-3720-4519-8737-884A1B18F78A}">
      <formula1>40179</formula1>
      <formula2>55153</formula2>
    </dataValidation>
    <dataValidation type="time" allowBlank="1" showInputMessage="1" showErrorMessage="1" sqref="B6" xr:uid="{491B8E2F-F0D3-40E4-8978-792579A99012}">
      <formula1>0</formula1>
      <formula2>0.999305555555556</formula2>
    </dataValidation>
    <dataValidation type="whole" allowBlank="1" showInputMessage="1" showErrorMessage="1" sqref="B7" xr:uid="{50C74067-AB0E-4120-AC52-E72DCECDEA99}">
      <formula1>1</formula1>
      <formula2>10000000000</formula2>
    </dataValidation>
    <dataValidation type="decimal" allowBlank="1" showInputMessage="1" showErrorMessage="1" sqref="B8" xr:uid="{FD525E8C-EEF4-47AE-936D-B44428F9BC95}">
      <formula1>0.1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5" x14ac:dyDescent="0.25"/>
  <cols>
    <col min="1" max="1" width="15.85546875" bestFit="1" customWidth="1"/>
    <col min="2" max="2" width="9.28515625" customWidth="1"/>
    <col min="3" max="3" width="18.85546875" customWidth="1"/>
  </cols>
  <sheetData>
    <row r="1" spans="1:3" x14ac:dyDescent="0.25">
      <c r="A1" t="s">
        <v>58</v>
      </c>
      <c r="B1" t="s">
        <v>57</v>
      </c>
      <c r="C1" t="s">
        <v>59</v>
      </c>
    </row>
    <row r="2" spans="1:3" x14ac:dyDescent="0.25">
      <c r="A2" t="s">
        <v>23</v>
      </c>
      <c r="B2" t="s">
        <v>47</v>
      </c>
      <c r="C2" t="s">
        <v>26</v>
      </c>
    </row>
    <row r="3" spans="1:3" x14ac:dyDescent="0.25">
      <c r="A3" t="s">
        <v>25</v>
      </c>
      <c r="B3" t="s">
        <v>48</v>
      </c>
      <c r="C3" t="s">
        <v>24</v>
      </c>
    </row>
    <row r="4" spans="1:3" x14ac:dyDescent="0.25">
      <c r="B4" t="s">
        <v>49</v>
      </c>
    </row>
    <row r="5" spans="1:3" x14ac:dyDescent="0.25">
      <c r="B5" t="s">
        <v>32</v>
      </c>
    </row>
    <row r="6" spans="1:3" x14ac:dyDescent="0.25">
      <c r="B6" t="s">
        <v>50</v>
      </c>
    </row>
    <row r="7" spans="1:3" x14ac:dyDescent="0.25">
      <c r="B7" t="s">
        <v>51</v>
      </c>
    </row>
    <row r="8" spans="1:3" x14ac:dyDescent="0.25">
      <c r="B8" t="s">
        <v>52</v>
      </c>
    </row>
    <row r="9" spans="1:3" x14ac:dyDescent="0.25">
      <c r="B9" t="s">
        <v>53</v>
      </c>
    </row>
    <row r="10" spans="1:3" x14ac:dyDescent="0.25">
      <c r="B10" t="s">
        <v>54</v>
      </c>
    </row>
    <row r="11" spans="1:3" x14ac:dyDescent="0.25">
      <c r="B11" t="s">
        <v>34</v>
      </c>
    </row>
    <row r="12" spans="1:3" x14ac:dyDescent="0.25">
      <c r="B12" t="s">
        <v>55</v>
      </c>
    </row>
    <row r="13" spans="1:3" x14ac:dyDescent="0.25">
      <c r="B1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2026-10-15T12:29:27Z</dcterms:modified>
</cp:coreProperties>
</file>